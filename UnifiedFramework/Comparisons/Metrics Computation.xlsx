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tda23/Documents/Sperm_Object_Tracking/UnifiedFramework/Comparisons/"/>
    </mc:Choice>
  </mc:AlternateContent>
  <xr:revisionPtr revIDLastSave="0" documentId="13_ncr:1_{69DFA370-9FAB-8942-93AA-7E0D3B06D947}" xr6:coauthVersionLast="47" xr6:coauthVersionMax="47" xr10:uidLastSave="{00000000-0000-0000-0000-000000000000}"/>
  <bookViews>
    <workbookView xWindow="19200" yWindow="500" windowWidth="19200" windowHeight="19780" xr2:uid="{7398FEC0-BD7A-544A-BC5E-8164F1935B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1" l="1"/>
  <c r="H28" i="1"/>
  <c r="G28" i="1"/>
  <c r="F28" i="1"/>
  <c r="E28" i="1"/>
  <c r="D28" i="1"/>
  <c r="C28" i="1"/>
  <c r="B28" i="1"/>
  <c r="I18" i="1"/>
  <c r="H18" i="1"/>
  <c r="G18" i="1"/>
  <c r="F18" i="1"/>
  <c r="E18" i="1"/>
  <c r="D18" i="1"/>
  <c r="C18" i="1"/>
  <c r="B18" i="1"/>
  <c r="D8" i="1"/>
  <c r="E8" i="1"/>
  <c r="F8" i="1"/>
  <c r="G8" i="1"/>
  <c r="H8" i="1"/>
  <c r="I8" i="1"/>
  <c r="C8" i="1"/>
  <c r="B8" i="1"/>
</calcChain>
</file>

<file path=xl/sharedStrings.xml><?xml version="1.0" encoding="utf-8"?>
<sst xmlns="http://schemas.openxmlformats.org/spreadsheetml/2006/main" count="45" uniqueCount="17">
  <si>
    <t>Video 1</t>
  </si>
  <si>
    <t>Video 2</t>
  </si>
  <si>
    <t>Video 3</t>
  </si>
  <si>
    <t>Video 4</t>
  </si>
  <si>
    <t>Video 5</t>
  </si>
  <si>
    <t>Count</t>
  </si>
  <si>
    <t>Unfiltered</t>
  </si>
  <si>
    <t>Subopt Filtered</t>
  </si>
  <si>
    <t>DET</t>
  </si>
  <si>
    <t>LNK</t>
  </si>
  <si>
    <t>TRA</t>
  </si>
  <si>
    <t>TF</t>
  </si>
  <si>
    <t>MOTA</t>
  </si>
  <si>
    <t>IDF1</t>
  </si>
  <si>
    <t>HOTA</t>
  </si>
  <si>
    <t>Filtered</t>
  </si>
  <si>
    <t>Total/Average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</si>
</sst>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E6EB7-9391-3943-AA87-C9048A536935}">
  <dimension ref="A1:I28"/>
  <sheetViews>
    <sheetView tabSelected="1" workbookViewId="0">
      <selection activeCell="C19" sqref="C19"/>
    </sheetView>
  </sheetViews>
  <sheetFormatPr baseColWidth="10" defaultRowHeight="16" x14ac:dyDescent="0.2"/>
  <sheetData>
    <row r="1" spans="1:9" x14ac:dyDescent="0.2">
      <c r="A1" t="s">
        <v>6</v>
      </c>
      <c r="B1" t="s">
        <v>5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2">
      <c r="A2" t="s">
        <v>0</v>
      </c>
      <c r="B2">
        <v>80</v>
      </c>
      <c r="C2">
        <v>0.970105</v>
      </c>
      <c r="D2">
        <v>0.67352900000000004</v>
      </c>
      <c r="E2">
        <v>0.93163200000000002</v>
      </c>
      <c r="F2">
        <v>0.89110400000000001</v>
      </c>
      <c r="G2">
        <v>0.786879</v>
      </c>
      <c r="H2">
        <v>0.81595399999999996</v>
      </c>
      <c r="I2">
        <v>0.83064499999999997</v>
      </c>
    </row>
    <row r="3" spans="1:9" x14ac:dyDescent="0.2">
      <c r="A3" t="s">
        <v>1</v>
      </c>
      <c r="B3">
        <v>43</v>
      </c>
      <c r="C3">
        <v>0.97921899999999995</v>
      </c>
      <c r="D3">
        <v>0.67899500000000002</v>
      </c>
      <c r="E3">
        <v>0.94026900000000002</v>
      </c>
      <c r="F3">
        <v>0.92284699999999997</v>
      </c>
      <c r="G3">
        <v>0.82222499999999998</v>
      </c>
      <c r="H3">
        <v>0.86653899999999995</v>
      </c>
      <c r="I3">
        <v>0.87776900000000002</v>
      </c>
    </row>
    <row r="4" spans="1:9" x14ac:dyDescent="0.2">
      <c r="A4" t="s">
        <v>2</v>
      </c>
      <c r="B4">
        <v>81</v>
      </c>
      <c r="C4">
        <v>0.96731100000000003</v>
      </c>
      <c r="D4">
        <v>0.63528200000000001</v>
      </c>
      <c r="E4">
        <v>0.92422300000000002</v>
      </c>
      <c r="F4">
        <v>0.84059499999999998</v>
      </c>
      <c r="G4">
        <v>0.84041200000000005</v>
      </c>
      <c r="H4">
        <v>0.83936599999999995</v>
      </c>
      <c r="I4">
        <v>0.85580100000000003</v>
      </c>
    </row>
    <row r="5" spans="1:9" x14ac:dyDescent="0.2">
      <c r="A5" t="s">
        <v>3</v>
      </c>
      <c r="B5">
        <v>28</v>
      </c>
      <c r="C5">
        <v>0.99675000000000002</v>
      </c>
      <c r="D5">
        <v>0.96483600000000003</v>
      </c>
      <c r="E5">
        <v>0.99260999999999999</v>
      </c>
      <c r="F5">
        <v>0.96400300000000005</v>
      </c>
      <c r="G5">
        <v>0.99588399999999999</v>
      </c>
      <c r="H5">
        <v>0.94586099999999995</v>
      </c>
      <c r="I5">
        <v>0.96442899999999998</v>
      </c>
    </row>
    <row r="6" spans="1:9" x14ac:dyDescent="0.2">
      <c r="A6" t="s">
        <v>4</v>
      </c>
      <c r="B6">
        <v>108</v>
      </c>
      <c r="C6">
        <v>0.99216000000000004</v>
      </c>
      <c r="D6">
        <v>0.85858800000000002</v>
      </c>
      <c r="E6">
        <v>0.97481799999999996</v>
      </c>
      <c r="F6">
        <v>0.88458000000000003</v>
      </c>
      <c r="G6">
        <v>0.98985699999999999</v>
      </c>
      <c r="H6">
        <v>0.87445899999999999</v>
      </c>
      <c r="I6">
        <v>0.90171400000000002</v>
      </c>
    </row>
    <row r="8" spans="1:9" x14ac:dyDescent="0.2">
      <c r="A8" t="s">
        <v>16</v>
      </c>
      <c r="B8">
        <f>SUM(B2:B6)</f>
        <v>340</v>
      </c>
      <c r="C8">
        <f>(($B2*C2) + ($B3*C3) + ($B4*C4) + ($B5*C5)+($B6*C6))/($B2+$B3+$B4+$B5+$B6)</f>
        <v>0.97979202352941186</v>
      </c>
      <c r="D8">
        <f t="shared" ref="D8:I8" si="0">(($B2*D2) + ($B3*D3) + ($B4*D4) + ($B5*D5)+($B6*D6))/($B2+$B3+$B4+$B5+$B6)</f>
        <v>0.74788193823529403</v>
      </c>
      <c r="E8">
        <f t="shared" si="0"/>
        <v>0.9496988647058825</v>
      </c>
      <c r="F8">
        <f t="shared" si="0"/>
        <v>0.88701664705882355</v>
      </c>
      <c r="G8">
        <f t="shared" si="0"/>
        <v>0.88579022058823531</v>
      </c>
      <c r="H8">
        <f t="shared" si="0"/>
        <v>0.85721124411764704</v>
      </c>
      <c r="I8">
        <f t="shared" si="0"/>
        <v>0.87619021176470591</v>
      </c>
    </row>
    <row r="11" spans="1:9" x14ac:dyDescent="0.2">
      <c r="A11" t="s">
        <v>15</v>
      </c>
      <c r="B11" t="s">
        <v>5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</row>
    <row r="12" spans="1:9" x14ac:dyDescent="0.2">
      <c r="A12" t="s">
        <v>0</v>
      </c>
      <c r="B12">
        <v>64</v>
      </c>
      <c r="C12">
        <v>0.95963399999999999</v>
      </c>
      <c r="D12">
        <v>0.64162799999999998</v>
      </c>
      <c r="E12">
        <v>0.91841799999999996</v>
      </c>
      <c r="F12">
        <v>0.88107199999999997</v>
      </c>
      <c r="G12">
        <v>0.736842</v>
      </c>
      <c r="H12">
        <v>0.78153499999999998</v>
      </c>
      <c r="I12">
        <v>0.80103899999999995</v>
      </c>
    </row>
    <row r="13" spans="1:9" x14ac:dyDescent="0.2">
      <c r="A13" t="s">
        <v>1</v>
      </c>
      <c r="B13">
        <v>36</v>
      </c>
      <c r="C13">
        <v>0.97563</v>
      </c>
      <c r="D13">
        <v>0.844831</v>
      </c>
      <c r="E13">
        <v>0.95866300000000004</v>
      </c>
      <c r="F13">
        <v>0.92013299999999998</v>
      </c>
      <c r="G13">
        <v>0.79013199999999995</v>
      </c>
      <c r="H13">
        <v>0.84604900000000005</v>
      </c>
      <c r="I13">
        <v>0.86020200000000002</v>
      </c>
    </row>
    <row r="14" spans="1:9" x14ac:dyDescent="0.2">
      <c r="A14" t="s">
        <v>2</v>
      </c>
      <c r="B14">
        <v>65</v>
      </c>
      <c r="C14">
        <v>0.92353399999999997</v>
      </c>
      <c r="D14">
        <v>0.60677700000000001</v>
      </c>
      <c r="E14">
        <v>0.88245300000000004</v>
      </c>
      <c r="F14">
        <v>0.80359199999999997</v>
      </c>
      <c r="G14">
        <v>0.81868600000000002</v>
      </c>
      <c r="H14">
        <v>0.79488300000000001</v>
      </c>
      <c r="I14">
        <v>0.81945599999999996</v>
      </c>
    </row>
    <row r="15" spans="1:9" x14ac:dyDescent="0.2">
      <c r="A15" t="s">
        <v>3</v>
      </c>
      <c r="B15">
        <v>18</v>
      </c>
      <c r="C15">
        <v>0.99332100000000001</v>
      </c>
      <c r="D15">
        <v>0.95900700000000005</v>
      </c>
      <c r="E15">
        <v>0.98887700000000001</v>
      </c>
      <c r="F15">
        <v>0.94400499999999998</v>
      </c>
      <c r="G15">
        <v>0.99154100000000001</v>
      </c>
      <c r="H15">
        <v>0.88854100000000003</v>
      </c>
      <c r="I15">
        <v>0.92541200000000001</v>
      </c>
    </row>
    <row r="16" spans="1:9" x14ac:dyDescent="0.2">
      <c r="A16" t="s">
        <v>4</v>
      </c>
      <c r="B16">
        <v>81</v>
      </c>
      <c r="C16">
        <v>0.97284199999999998</v>
      </c>
      <c r="D16">
        <v>0.85899999999999999</v>
      </c>
      <c r="E16">
        <v>0.95807200000000003</v>
      </c>
      <c r="F16">
        <v>0.88360899999999998</v>
      </c>
      <c r="G16">
        <v>0.84144799999999997</v>
      </c>
      <c r="H16">
        <v>0.81438600000000005</v>
      </c>
      <c r="I16">
        <v>0.84065800000000002</v>
      </c>
    </row>
    <row r="18" spans="1:9" x14ac:dyDescent="0.2">
      <c r="A18" t="s">
        <v>16</v>
      </c>
      <c r="B18">
        <f>SUM(B12:B16)</f>
        <v>264</v>
      </c>
      <c r="C18">
        <f>(($B12*C12) + ($B13*C13) + ($B14*C14) + ($B15*C15)+($B16*C16))/($B12+$B13+$B14+$B15+$B16)</f>
        <v>0.95927631060606056</v>
      </c>
      <c r="D18">
        <f t="shared" ref="D18:I18" si="1">(($B12*D12) + ($B13*D13) + ($B14*D14) + ($B15*D15)+($B16*D16))/($B12+$B13+$B14+$B15+$B16)</f>
        <v>0.74908992045454537</v>
      </c>
      <c r="E18">
        <f t="shared" si="1"/>
        <v>0.93202152651515147</v>
      </c>
      <c r="F18">
        <f t="shared" si="1"/>
        <v>0.87239126893939378</v>
      </c>
      <c r="G18">
        <f t="shared" si="1"/>
        <v>0.81372066666666665</v>
      </c>
      <c r="H18">
        <f t="shared" si="1"/>
        <v>0.81099395075757563</v>
      </c>
      <c r="I18">
        <f t="shared" si="1"/>
        <v>0.83427697727272732</v>
      </c>
    </row>
    <row r="21" spans="1:9" x14ac:dyDescent="0.2">
      <c r="A21" t="s">
        <v>7</v>
      </c>
      <c r="B21" t="s">
        <v>5</v>
      </c>
      <c r="C21" t="s">
        <v>8</v>
      </c>
      <c r="D21" t="s">
        <v>9</v>
      </c>
      <c r="E21" t="s">
        <v>10</v>
      </c>
      <c r="F21" t="s">
        <v>11</v>
      </c>
      <c r="G21" t="s">
        <v>12</v>
      </c>
      <c r="H21" t="s">
        <v>13</v>
      </c>
      <c r="I21" t="s">
        <v>14</v>
      </c>
    </row>
    <row r="22" spans="1:9" x14ac:dyDescent="0.2">
      <c r="A22" t="s">
        <v>0</v>
      </c>
      <c r="B22">
        <v>64</v>
      </c>
      <c r="C22">
        <v>0.62416700000000003</v>
      </c>
      <c r="D22">
        <v>0.41360400000000003</v>
      </c>
      <c r="E22">
        <v>0.59687599999999996</v>
      </c>
      <c r="F22">
        <v>0.51415</v>
      </c>
      <c r="G22">
        <v>0.50892300000000001</v>
      </c>
      <c r="H22">
        <v>0.56403999999999999</v>
      </c>
      <c r="I22">
        <v>0.61821000000000004</v>
      </c>
    </row>
    <row r="23" spans="1:9" x14ac:dyDescent="0.2">
      <c r="A23" t="s">
        <v>1</v>
      </c>
      <c r="B23">
        <v>36</v>
      </c>
      <c r="C23">
        <v>0.63374399999999997</v>
      </c>
      <c r="D23">
        <v>0.584619</v>
      </c>
      <c r="E23">
        <v>0.62737200000000004</v>
      </c>
      <c r="F23">
        <v>0.58844099999999999</v>
      </c>
      <c r="G23">
        <v>0.44369999999999998</v>
      </c>
      <c r="H23">
        <v>0.64832199999999995</v>
      </c>
      <c r="I23">
        <v>0.68629600000000002</v>
      </c>
    </row>
    <row r="24" spans="1:9" x14ac:dyDescent="0.2">
      <c r="A24" t="s">
        <v>2</v>
      </c>
      <c r="B24">
        <v>65</v>
      </c>
      <c r="C24">
        <v>0.71264899999999998</v>
      </c>
      <c r="D24">
        <v>0.48331099999999999</v>
      </c>
      <c r="E24">
        <v>0.68290600000000001</v>
      </c>
      <c r="F24">
        <v>0.63792700000000002</v>
      </c>
      <c r="G24">
        <v>0.633239</v>
      </c>
      <c r="H24">
        <v>0.66927099999999995</v>
      </c>
      <c r="I24">
        <v>0.70758299999999996</v>
      </c>
    </row>
    <row r="25" spans="1:9" x14ac:dyDescent="0.2">
      <c r="A25" t="s">
        <v>3</v>
      </c>
      <c r="B25">
        <v>18</v>
      </c>
      <c r="C25">
        <v>0.57417600000000002</v>
      </c>
      <c r="D25">
        <v>0.55371000000000004</v>
      </c>
      <c r="E25">
        <v>0.57152499999999995</v>
      </c>
      <c r="F25">
        <v>0.48766700000000002</v>
      </c>
      <c r="G25">
        <v>0.564114</v>
      </c>
      <c r="H25">
        <v>0.42372900000000002</v>
      </c>
      <c r="I25">
        <v>0.49937199999999998</v>
      </c>
    </row>
    <row r="26" spans="1:9" x14ac:dyDescent="0.2">
      <c r="A26" t="s">
        <v>4</v>
      </c>
      <c r="B26">
        <v>81</v>
      </c>
      <c r="C26">
        <v>0.78102899999999997</v>
      </c>
      <c r="D26">
        <v>0.68837099999999996</v>
      </c>
      <c r="E26">
        <v>0.76900800000000002</v>
      </c>
      <c r="F26">
        <v>0.70066300000000004</v>
      </c>
      <c r="G26">
        <v>0.75024500000000005</v>
      </c>
      <c r="H26">
        <v>0.74642200000000003</v>
      </c>
      <c r="I26">
        <v>0.77891299999999997</v>
      </c>
    </row>
    <row r="28" spans="1:9" x14ac:dyDescent="0.2">
      <c r="A28" t="s">
        <v>16</v>
      </c>
      <c r="B28">
        <f>SUM(B22:B26)</f>
        <v>264</v>
      </c>
      <c r="C28">
        <f>(($B22*C22) + ($B23*C23) + ($B24*C24) + ($B25*C25)+($B26*C26))/($B22+$B23+$B24+$B25+$B26)</f>
        <v>0.69197793181818168</v>
      </c>
      <c r="D28">
        <f t="shared" ref="D28:I28" si="2">(($B22*D22) + ($B23*D23) + ($B24*D24) + ($B25*D25)+($B26*D26))/($B22+$B23+$B24+$B25+$B26)</f>
        <v>0.54794312878787887</v>
      </c>
      <c r="E28">
        <f t="shared" si="2"/>
        <v>0.67330092424242416</v>
      </c>
      <c r="F28">
        <f t="shared" si="2"/>
        <v>0.61017590909090913</v>
      </c>
      <c r="G28">
        <f t="shared" si="2"/>
        <v>0.60844206060606065</v>
      </c>
      <c r="H28">
        <f t="shared" si="2"/>
        <v>0.64783360227272735</v>
      </c>
      <c r="I28">
        <f t="shared" si="2"/>
        <v>0.6907031818181818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Hart, David Marvin</dc:creator>
  <cp:lastModifiedBy>Hart, David Marvin</cp:lastModifiedBy>
  <dcterms:created xsi:type="dcterms:W3CDTF">2025-12-31T18:52:29Z</dcterms:created>
  <dcterms:modified xsi:type="dcterms:W3CDTF">2025-12-31T19:15:22Z</dcterms:modified>
</cp:coreProperties>
</file>